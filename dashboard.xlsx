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Meu Drive\Educacional\Phyton\Projetos\portifolio_Python\DIO-dashboard\"/>
    </mc:Choice>
  </mc:AlternateContent>
  <xr:revisionPtr revIDLastSave="0" documentId="13_ncr:1_{C522D061-0ED6-48AF-9374-5482FEDBC21B}" xr6:coauthVersionLast="47" xr6:coauthVersionMax="47" xr10:uidLastSave="{00000000-0000-0000-0000-000000000000}"/>
  <bookViews>
    <workbookView xWindow="-120" yWindow="-120" windowWidth="386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D21" i="3"/>
</calcChain>
</file>

<file path=xl/sharedStrings.xml><?xml version="1.0" encoding="utf-8"?>
<sst xmlns="http://schemas.openxmlformats.org/spreadsheetml/2006/main" count="2024" uniqueCount="326">
  <si>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</si>
  <si>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</si>
  <si>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</si>
  <si>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</si>
  <si>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</si>
  <si>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</si>
  <si>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</si>
  <si>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</si>
  <si>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</si>
  <si>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</si>
  <si>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</si>
  <si>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</si>
  <si>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</si>
  <si>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</si>
  <si>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</si>
  <si>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</si>
  <si>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</si>
  <si>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</si>
  <si>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</si>
  <si>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</si>
  <si>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</si>
  <si>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</si>
  <si>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</si>
  <si>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</si>
  <si>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</si>
  <si>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</si>
  <si>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</si>
  <si>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</si>
  <si>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</si>
  <si>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</si>
  <si>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</si>
  <si>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</si>
  <si>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</si>
  <si>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</si>
  <si>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</si>
  <si>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</si>
  <si>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</si>
  <si>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</si>
  <si>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</si>
  <si>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</si>
  <si>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</si>
  <si>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</si>
  <si>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</si>
  <si>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</si>
  <si>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</si>
  <si>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</si>
  <si>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</si>
  <si>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</si>
  <si>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</si>
  <si>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</si>
  <si>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</si>
  <si>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</si>
  <si>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</si>
  <si>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</si>
  <si>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</si>
  <si>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</si>
  <si>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</si>
  <si>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</si>
  <si>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</si>
  <si>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</si>
  <si>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</si>
  <si>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</si>
  <si>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</si>
  <si>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</si>
  <si>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</si>
  <si>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</si>
  <si>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</si>
  <si>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</si>
  <si>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</si>
  <si>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</si>
  <si>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</si>
  <si>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</si>
  <si>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</si>
  <si>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</si>
  <si>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</si>
  <si>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</si>
  <si>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</si>
  <si>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</si>
  <si>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</si>
  <si>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</si>
  <si>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</si>
  <si>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</si>
  <si>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</si>
  <si>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</si>
  <si>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</si>
  <si>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</si>
  <si>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</si>
  <si>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</si>
  <si>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</si>
  <si>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</si>
  <si>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</si>
  <si>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</si>
  <si>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</si>
  <si>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</si>
  <si>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</si>
  <si>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</si>
  <si>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</si>
  <si>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</si>
  <si>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</si>
  <si>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</si>
  <si>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</si>
  <si>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</si>
  <si>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</si>
  <si>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</si>
  <si>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</si>
  <si>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</si>
  <si>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</si>
  <si>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</si>
  <si>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</si>
  <si>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</si>
  <si>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</si>
  <si>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</si>
  <si>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</si>
  <si>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</si>
  <si>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</si>
  <si>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</si>
  <si>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</si>
  <si>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</si>
  <si>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</si>
  <si>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</si>
  <si>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</si>
  <si>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</si>
  <si>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</si>
  <si>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</si>
  <si>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</si>
  <si>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</si>
  <si>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</si>
  <si>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</si>
  <si>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</si>
  <si>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</si>
  <si>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</si>
  <si>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</si>
  <si>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</si>
  <si>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</si>
  <si>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</si>
  <si>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</si>
  <si>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</si>
  <si>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</si>
  <si>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</si>
  <si>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</si>
  <si>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</si>
  <si>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</si>
  <si>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</si>
  <si>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</si>
  <si>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</si>
  <si>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</si>
  <si>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</si>
  <si>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</si>
  <si>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</si>
  <si>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</si>
  <si>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</si>
  <si>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</si>
  <si>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</si>
  <si>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</si>
  <si>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</si>
  <si>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</si>
  <si>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</si>
  <si>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</si>
  <si>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</si>
  <si>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</si>
  <si>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</si>
  <si>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</si>
  <si>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</si>
  <si>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</si>
  <si>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</si>
  <si>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</si>
  <si>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</si>
  <si>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</si>
  <si>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</si>
  <si>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</si>
  <si>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</si>
  <si>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</si>
  <si>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</si>
  <si>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</si>
  <si>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</si>
  <si>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</si>
  <si>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</si>
  <si>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</si>
  <si>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</si>
  <si>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</si>
  <si>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</si>
  <si>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</si>
  <si>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</si>
  <si>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</si>
  <si>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</si>
  <si>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</si>
  <si>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</si>
  <si>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</si>
  <si>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</si>
  <si>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</si>
  <si>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</si>
  <si>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</si>
  <si>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</si>
  <si>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</si>
  <si>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</si>
  <si>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</si>
  <si>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</si>
  <si>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</si>
  <si>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</si>
  <si>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</si>
  <si>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</si>
  <si>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</si>
  <si>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</si>
  <si>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</si>
  <si>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</si>
  <si>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</si>
  <si>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</si>
  <si>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</si>
  <si>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</si>
  <si>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</si>
  <si>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</si>
  <si>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</si>
  <si>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</si>
  <si>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</si>
  <si>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</si>
  <si>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</si>
  <si>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</si>
  <si>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</si>
  <si>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</si>
  <si>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</si>
  <si>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</si>
  <si>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</si>
  <si>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</si>
  <si>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</si>
  <si>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</si>
  <si>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</si>
  <si>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</si>
  <si>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</si>
  <si>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</si>
  <si>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</si>
  <si>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</si>
  <si>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</si>
  <si>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</si>
  <si>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</si>
  <si>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</si>
  <si>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</si>
  <si>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</si>
  <si>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</si>
  <si>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</si>
  <si>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</si>
  <si>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</si>
  <si>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</si>
  <si>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</si>
  <si>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</si>
  <si>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</si>
  <si>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</si>
  <si>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</si>
  <si>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</si>
  <si>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</si>
  <si>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</si>
  <si>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</si>
  <si>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</si>
  <si>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</si>
  <si>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</si>
  <si>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</si>
  <si>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</si>
  <si>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</si>
  <si>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</si>
  <si>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</si>
  <si>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</si>
  <si>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</si>
  <si>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</si>
  <si>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</si>
  <si>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</si>
  <si>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</si>
  <si>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</si>
  <si>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</si>
  <si>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</si>
  <si>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</si>
  <si>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</si>
  <si>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</si>
  <si>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</si>
  <si>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</si>
  <si>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</si>
  <si>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</si>
  <si>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</si>
  <si>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</si>
  <si>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</si>
  <si>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</si>
  <si>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</si>
  <si>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</si>
  <si>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</si>
  <si>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</si>
  <si>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</si>
  <si>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</si>
  <si>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</si>
  <si>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</si>
  <si>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</si>
  <si>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</si>
  <si>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</si>
  <si>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</si>
  <si>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</si>
  <si>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</si>
  <si>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</si>
  <si>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</si>
  <si>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</si>
  <si>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</si>
  <si>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</si>
  <si>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</si>
  <si>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</si>
  <si>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</si>
  <si>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</si>
  <si>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</si>
  <si>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</si>
  <si>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</si>
  <si>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</si>
  <si>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</si>
  <si>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</si>
  <si>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</si>
  <si>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</si>
  <si>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</si>
  <si>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</si>
  <si>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</si>
  <si>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</si>
  <si>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</si>
  <si>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</si>
  <si>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</si>
  <si>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t>p1</t>
  </si>
  <si>
    <t>p2</t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</si>
  <si>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 xml:space="preserve">separado por </t>
    </r>
    <r>
      <rPr>
        <b/>
        <sz val="11"/>
        <color theme="1"/>
        <rFont val="Aptos Narrow"/>
        <family val="2"/>
        <scheme val="minor"/>
      </rPr>
      <t>auto renovação</t>
    </r>
    <r>
      <rPr>
        <sz val="11"/>
        <color theme="1"/>
        <rFont val="Aptos Narrow"/>
        <family val="2"/>
        <scheme val="minor"/>
      </rPr>
      <t xml:space="preserve"> ou que </t>
    </r>
    <r>
      <rPr>
        <b/>
        <sz val="11"/>
        <color theme="1"/>
        <rFont val="Aptos Narrow"/>
        <family val="2"/>
        <scheme val="minor"/>
      </rPr>
      <t>não</t>
    </r>
    <r>
      <rPr>
        <sz val="11"/>
        <color theme="1"/>
        <rFont val="Aptos Narrow"/>
        <family val="2"/>
        <scheme val="minor"/>
      </rPr>
      <t xml:space="preserve"> é por auto renovação?</t>
    </r>
  </si>
  <si>
    <t xml:space="preserve"> </t>
  </si>
  <si>
    <t>XBOX GAME PASS SUBSCRIPTIONS SALES</t>
  </si>
  <si>
    <t>Soma de EA Play Season Pass</t>
  </si>
  <si>
    <r>
      <t xml:space="preserve">Pergunta de negócio 4 - qual 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family val="2"/>
        <scheme val="minor"/>
      </rPr>
      <t>MINECRAFT SEASON PASS</t>
    </r>
    <r>
      <rPr>
        <sz val="11"/>
        <color theme="1"/>
        <rFont val="Aptos Narrow"/>
        <family val="2"/>
        <scheme val="minor"/>
      </rPr>
      <t xml:space="preserve"> ?</t>
    </r>
  </si>
  <si>
    <r>
      <t xml:space="preserve">Pergunta de negócio 3- qual 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family val="2"/>
        <scheme val="minor"/>
      </rPr>
      <t>EA PLAY</t>
    </r>
    <r>
      <rPr>
        <sz val="11"/>
        <color theme="1"/>
        <rFont val="Aptos Narrow"/>
        <family val="2"/>
        <scheme val="minor"/>
      </rPr>
      <t xml:space="preserve"> ?</t>
    </r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</si>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</sst>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1" applyFont="1" applyBorder="1"/>
    <xf numFmtId="164" fontId="0" fillId="0" borderId="0" xfId="0" applyNumberFormat="1"/>
    <xf numFmtId="44" fontId="0" fillId="0" borderId="0" xfId="2" applyFont="1"/>
    <xf numFmtId="0" fontId="4" fillId="0" borderId="2" xfId="1" applyFont="1" applyBorder="1" applyAlignment="1">
      <alignment horizontal="left" indent="8"/>
    </xf>
    <xf numFmtId="0" fontId="0" fillId="0" borderId="0" xfId="0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5BF6A8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060FC197-F37C-4401-B261-3C8FD5DB5B41}">
      <tableStyleElement type="wholeTable" dxfId="15"/>
      <tableStyleElement type="headerRow" dxfId="14"/>
    </tableStyle>
  </tableStyles>
  <colors>
    <mruColors>
      <color rgb="FF5BF6A8"/>
      <color rgb="FF2AE6B1"/>
      <color rgb="FF22C55E"/>
      <color rgb="FF9BC848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1-47F9-A226-4FD7797F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2311647"/>
        <c:axId val="922309727"/>
      </c:barChart>
      <c:catAx>
        <c:axId val="92231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2309727"/>
        <c:crosses val="autoZero"/>
        <c:auto val="1"/>
        <c:lblAlgn val="ctr"/>
        <c:lblOffset val="100"/>
        <c:noMultiLvlLbl val="0"/>
      </c:catAx>
      <c:valAx>
        <c:axId val="92230972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2231164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52917</xdr:colOff>
      <xdr:row>76</xdr:row>
      <xdr:rowOff>116417</xdr:rowOff>
    </xdr:from>
    <xdr:to>
      <xdr:col>12</xdr:col>
      <xdr:colOff>357717</xdr:colOff>
      <xdr:row>78</xdr:row>
      <xdr:rowOff>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3885334" y="497417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119063</xdr:rowOff>
    </xdr:from>
    <xdr:to>
      <xdr:col>2</xdr:col>
      <xdr:colOff>595313</xdr:colOff>
      <xdr:row>2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1C22D-85E5-412E-9605-80CBF20C99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2" t="19802" r="72360" b="23126"/>
        <a:stretch/>
      </xdr:blipFill>
      <xdr:spPr>
        <a:xfrm>
          <a:off x="2333625" y="119063"/>
          <a:ext cx="595313" cy="58340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71439</xdr:rowOff>
    </xdr:from>
    <xdr:to>
      <xdr:col>0</xdr:col>
      <xdr:colOff>2071688</xdr:colOff>
      <xdr:row>14</xdr:row>
      <xdr:rowOff>59531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263714A-25FB-4CC2-A6C7-0C1EBA0176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71200"/>
              <a:ext cx="2071688" cy="18102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214313</xdr:colOff>
      <xdr:row>7</xdr:row>
      <xdr:rowOff>0</xdr:rowOff>
    </xdr:from>
    <xdr:to>
      <xdr:col>9</xdr:col>
      <xdr:colOff>523875</xdr:colOff>
      <xdr:row>15</xdr:row>
      <xdr:rowOff>47623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58F8537C-5359-C40D-3B27-AF18E9B4AD12}"/>
            </a:ext>
          </a:extLst>
        </xdr:cNvPr>
        <xdr:cNvGrpSpPr/>
      </xdr:nvGrpSpPr>
      <xdr:grpSpPr>
        <a:xfrm>
          <a:off x="2309813" y="1656522"/>
          <a:ext cx="5312258" cy="1803536"/>
          <a:chOff x="2321719" y="2226469"/>
          <a:chExt cx="5274468" cy="1797842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9421F67-84A1-2A79-D6D4-3FF0B4FE6F69}"/>
              </a:ext>
            </a:extLst>
          </xdr:cNvPr>
          <xdr:cNvSpPr/>
        </xdr:nvSpPr>
        <xdr:spPr>
          <a:xfrm>
            <a:off x="2321720" y="2274093"/>
            <a:ext cx="5262561" cy="1750218"/>
          </a:xfrm>
          <a:prstGeom prst="roundRect">
            <a:avLst>
              <a:gd name="adj" fmla="val 918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1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24890833-6AF6-481E-BB06-ABFAFA1B3CFE}"/>
              </a:ext>
            </a:extLst>
          </xdr:cNvPr>
          <xdr:cNvSpPr/>
        </xdr:nvSpPr>
        <xdr:spPr>
          <a:xfrm>
            <a:off x="3798094" y="3026569"/>
            <a:ext cx="3250405" cy="738186"/>
          </a:xfrm>
          <a:prstGeom prst="roundRect">
            <a:avLst>
              <a:gd name="adj" fmla="val 918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B651B1E-0179-4A4B-816B-726AC64D3193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R$ 1.350,00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E4FFD4EF-B5A6-4287-BF9E-8CB563B8F8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3657" y="2786062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E985524B-5636-02DA-199B-BE2FBDEAF7F4}"/>
              </a:ext>
            </a:extLst>
          </xdr:cNvPr>
          <xdr:cNvSpPr/>
        </xdr:nvSpPr>
        <xdr:spPr>
          <a:xfrm>
            <a:off x="2321719" y="2226469"/>
            <a:ext cx="5274468" cy="488156"/>
          </a:xfrm>
          <a:prstGeom prst="round2SameRect">
            <a:avLst>
              <a:gd name="adj1" fmla="val 48374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23814</xdr:colOff>
      <xdr:row>7</xdr:row>
      <xdr:rowOff>0</xdr:rowOff>
    </xdr:from>
    <xdr:to>
      <xdr:col>20</xdr:col>
      <xdr:colOff>0</xdr:colOff>
      <xdr:row>15</xdr:row>
      <xdr:rowOff>47623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76654CE6-7052-F7DB-E885-70EAF40BC6CC}"/>
            </a:ext>
          </a:extLst>
        </xdr:cNvPr>
        <xdr:cNvGrpSpPr/>
      </xdr:nvGrpSpPr>
      <xdr:grpSpPr>
        <a:xfrm>
          <a:off x="8347836" y="1656522"/>
          <a:ext cx="5318468" cy="1803536"/>
          <a:chOff x="8274845" y="964408"/>
          <a:chExt cx="5274468" cy="1797842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12887576-D033-7BD6-00FF-61E3DF3C2633}"/>
              </a:ext>
            </a:extLst>
          </xdr:cNvPr>
          <xdr:cNvSpPr/>
        </xdr:nvSpPr>
        <xdr:spPr>
          <a:xfrm>
            <a:off x="8274846" y="1012032"/>
            <a:ext cx="5262561" cy="1750218"/>
          </a:xfrm>
          <a:prstGeom prst="roundRect">
            <a:avLst>
              <a:gd name="adj" fmla="val 918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3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9E904E70-3894-45A2-6DAD-B8D3C1F8EA8B}"/>
              </a:ext>
            </a:extLst>
          </xdr:cNvPr>
          <xdr:cNvSpPr/>
        </xdr:nvSpPr>
        <xdr:spPr>
          <a:xfrm>
            <a:off x="9751220" y="1733605"/>
            <a:ext cx="3250405" cy="738186"/>
          </a:xfrm>
          <a:prstGeom prst="roundRect">
            <a:avLst>
              <a:gd name="adj" fmla="val 918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A99594C-B97A-4AE2-8108-428C92FAB856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R$ 1.800,00 </a:t>
            </a:fld>
            <a:endParaRPr lang="pt-BR" sz="3600">
              <a:solidFill>
                <a:srgbClr val="22C55E"/>
              </a:solidFill>
            </a:endParaRPr>
          </a:p>
        </xdr:txBody>
      </xdr: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5A77EA4C-5000-3427-8D90-2CCB4EE5CF0D}"/>
              </a:ext>
            </a:extLst>
          </xdr:cNvPr>
          <xdr:cNvSpPr/>
        </xdr:nvSpPr>
        <xdr:spPr>
          <a:xfrm>
            <a:off x="8274845" y="964408"/>
            <a:ext cx="5274468" cy="488156"/>
          </a:xfrm>
          <a:prstGeom prst="round2SameRect">
            <a:avLst>
              <a:gd name="adj1" fmla="val 48374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F8E55CBE-FCD5-4E8E-A9CE-07EBD56C2378}"/>
              </a:ext>
            </a:extLst>
          </xdr:cNvPr>
          <xdr:cNvGrpSpPr/>
        </xdr:nvGrpSpPr>
        <xdr:grpSpPr>
          <a:xfrm>
            <a:off x="8474003" y="1636569"/>
            <a:ext cx="1363806" cy="788011"/>
            <a:chOff x="3566105" y="5245352"/>
            <a:chExt cx="1408614" cy="788011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4692EC96-3597-4560-19A3-AA19A80FF3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023858" y="5245352"/>
              <a:ext cx="504998" cy="554181"/>
            </a:xfrm>
            <a:prstGeom prst="rect">
              <a:avLst/>
            </a:prstGeom>
          </xdr:spPr>
        </xdr:pic>
        <xdr:pic>
          <xdr:nvPicPr>
            <xdr:cNvPr id="28" name="Gráfico 27">
              <a:extLst>
                <a:ext uri="{FF2B5EF4-FFF2-40B4-BE49-F238E27FC236}">
                  <a16:creationId xmlns:a16="http://schemas.microsoft.com/office/drawing/2014/main" id="{03533CB1-3D88-E468-BB8E-0A3B0268D8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566105" y="5799533"/>
              <a:ext cx="1408614" cy="23383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0</xdr:colOff>
      <xdr:row>16</xdr:row>
      <xdr:rowOff>166686</xdr:rowOff>
    </xdr:from>
    <xdr:to>
      <xdr:col>20</xdr:col>
      <xdr:colOff>1</xdr:colOff>
      <xdr:row>37</xdr:row>
      <xdr:rowOff>107155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E72ED891-A4C9-2AEC-F19D-6DC4B7B08640}"/>
            </a:ext>
          </a:extLst>
        </xdr:cNvPr>
        <xdr:cNvGrpSpPr/>
      </xdr:nvGrpSpPr>
      <xdr:grpSpPr>
        <a:xfrm>
          <a:off x="2335696" y="3769621"/>
          <a:ext cx="11330609" cy="3940969"/>
          <a:chOff x="2309813" y="3143250"/>
          <a:chExt cx="11239501" cy="394096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E03D7503-FC18-5BC2-C868-043F4B8073E5}"/>
              </a:ext>
            </a:extLst>
          </xdr:cNvPr>
          <xdr:cNvGrpSpPr/>
        </xdr:nvGrpSpPr>
        <xdr:grpSpPr>
          <a:xfrm>
            <a:off x="2309813" y="3393282"/>
            <a:ext cx="11239501" cy="3690937"/>
            <a:chOff x="2119313" y="1774031"/>
            <a:chExt cx="4738687" cy="3143249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7F82B51-B28D-7281-E947-75D4F0FDB82F}"/>
                </a:ext>
              </a:extLst>
            </xdr:cNvPr>
            <xdr:cNvSpPr/>
          </xdr:nvSpPr>
          <xdr:spPr>
            <a:xfrm>
              <a:off x="2119313" y="1774031"/>
              <a:ext cx="4738687" cy="3143249"/>
            </a:xfrm>
            <a:prstGeom prst="roundRect">
              <a:avLst>
                <a:gd name="adj" fmla="val 568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ABE696E-590D-48F7-8D30-53D05B10BDB9}"/>
                </a:ext>
              </a:extLst>
            </xdr:cNvPr>
            <xdr:cNvGraphicFramePr>
              <a:graphicFrameLocks/>
            </xdr:cNvGraphicFramePr>
          </xdr:nvGraphicFramePr>
          <xdr:xfrm>
            <a:off x="2140570" y="1956543"/>
            <a:ext cx="4697911" cy="279282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83926C97-28EA-4467-9E5A-13EE0EDD9A8E}"/>
              </a:ext>
            </a:extLst>
          </xdr:cNvPr>
          <xdr:cNvSpPr/>
        </xdr:nvSpPr>
        <xdr:spPr>
          <a:xfrm>
            <a:off x="2309813" y="3143250"/>
            <a:ext cx="11239500" cy="488156"/>
          </a:xfrm>
          <a:prstGeom prst="round2SameRect">
            <a:avLst>
              <a:gd name="adj1" fmla="val 48374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688182</xdr:colOff>
      <xdr:row>0</xdr:row>
      <xdr:rowOff>161925</xdr:rowOff>
    </xdr:from>
    <xdr:to>
      <xdr:col>0</xdr:col>
      <xdr:colOff>1383507</xdr:colOff>
      <xdr:row>2</xdr:row>
      <xdr:rowOff>154781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CB27D0BA-69BF-42BA-A278-ADB2B4C209A9}"/>
            </a:ext>
          </a:extLst>
        </xdr:cNvPr>
        <xdr:cNvSpPr/>
      </xdr:nvSpPr>
      <xdr:spPr>
        <a:xfrm>
          <a:off x="688182" y="16192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3</xdr:row>
      <xdr:rowOff>0</xdr:rowOff>
    </xdr:from>
    <xdr:to>
      <xdr:col>0</xdr:col>
      <xdr:colOff>2071688</xdr:colOff>
      <xdr:row>4</xdr:row>
      <xdr:rowOff>83344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ABA76426-8F91-F359-9CC9-38660BF6221E}"/>
            </a:ext>
          </a:extLst>
        </xdr:cNvPr>
        <xdr:cNvSpPr/>
      </xdr:nvSpPr>
      <xdr:spPr>
        <a:xfrm>
          <a:off x="0" y="988219"/>
          <a:ext cx="2071688" cy="381000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&gt; bem</a:t>
          </a:r>
          <a:r>
            <a:rPr lang="pt-BR" sz="1100" b="1" baseline="0"/>
            <a:t> vinda, Maria</a:t>
          </a:r>
          <a:endParaRPr lang="pt-BR" sz="1100" b="1"/>
        </a:p>
      </xdr:txBody>
    </xdr:sp>
    <xdr:clientData/>
  </xdr:twoCellAnchor>
  <xdr:twoCellAnchor editAs="absolute">
    <xdr:from>
      <xdr:col>2</xdr:col>
      <xdr:colOff>0</xdr:colOff>
      <xdr:row>3</xdr:row>
      <xdr:rowOff>71437</xdr:rowOff>
    </xdr:from>
    <xdr:to>
      <xdr:col>10</xdr:col>
      <xdr:colOff>0</xdr:colOff>
      <xdr:row>6</xdr:row>
      <xdr:rowOff>0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645F398B-E6A5-432C-BCCF-42C7E749A2A2}"/>
            </a:ext>
          </a:extLst>
        </xdr:cNvPr>
        <xdr:cNvSpPr/>
      </xdr:nvSpPr>
      <xdr:spPr>
        <a:xfrm>
          <a:off x="2333625" y="1059656"/>
          <a:ext cx="5334000" cy="45243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 i="1" u="none">
              <a:solidFill>
                <a:schemeClr val="bg2">
                  <a:lumMod val="25000"/>
                </a:schemeClr>
              </a:solidFill>
            </a:rPr>
            <a:t>Calculation period: 01/01/2024 - 31/12/2024 | Update date: </a:t>
          </a:r>
          <a:r>
            <a:rPr lang="pt-BR" sz="1400" b="0" i="1" u="none">
              <a:solidFill>
                <a:schemeClr val="bg2">
                  <a:lumMod val="25000"/>
                </a:schemeClr>
              </a:solidFill>
            </a:rPr>
            <a:t>09/04/2025</a:t>
          </a:r>
          <a:r>
            <a:rPr lang="pt-BR" sz="1200" b="0" i="1" u="none">
              <a:solidFill>
                <a:schemeClr val="bg2">
                  <a:lumMod val="25000"/>
                </a:schemeClr>
              </a:solidFill>
            </a:rPr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io Gimenes Alves" refreshedDate="45755.535707870367" createdVersion="8" refreshedVersion="8" minRefreshableVersion="3" recordCount="295" xr:uid="{BDFAF2CA-16F6-4D6F-B480-048D068D3B7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87262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CA0D7-E6BB-4504-B81D-4BDCF3A3A20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">
  <location ref="B29:C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AB58B-9F57-437A-B432-8695534E8949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">
  <location ref="B17:C2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987BC-00E5-4C96-AB15-E6D6100EF4F1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">
  <location ref="B8:C11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CE87CEB-88B9-4156-A36D-8E02CD4374B2}" sourceName="Subscription Type">
  <pivotTables>
    <pivotTable tabId="3" name="tbl_annual_total"/>
    <pivotTable tabId="3" name="tbl_EAseasonpass_total"/>
    <pivotTable tabId="3" name="Tabela dinâmica2"/>
  </pivotTables>
  <data>
    <tabular pivotCacheId="208726285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E978E11-BE88-441B-8B5A-FB3AA6765E4D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3" zoomScale="90" zoomScaleNormal="90" workbookViewId="0">
      <selection activeCell="B8" sqref="B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33"/>
  <sheetViews>
    <sheetView showGridLines="0" workbookViewId="0">
      <selection activeCell="B8" sqref="B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9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4" x14ac:dyDescent="0.25">
      <c r="B2" t="s">
        <v>316</v>
      </c>
    </row>
    <row r="3" spans="2:4" x14ac:dyDescent="0.25">
      <c r="B3" t="s">
        <v>319</v>
      </c>
    </row>
    <row r="6" spans="2:4" x14ac:dyDescent="0.25">
      <c r="B6" s="13" t="s">
        <v>16</v>
      </c>
      <c r="C6" t="s">
        <v>20</v>
      </c>
    </row>
    <row r="8" spans="2:4" x14ac:dyDescent="0.25">
      <c r="B8" s="13" t="s">
        <v>314</v>
      </c>
      <c r="C8" t="s">
        <v>313</v>
      </c>
    </row>
    <row r="9" spans="2:4" x14ac:dyDescent="0.25">
      <c r="B9" s="14" t="s">
        <v>23</v>
      </c>
      <c r="C9" s="12">
        <v>2824</v>
      </c>
      <c r="D9" s="19" t="s">
        <v>318</v>
      </c>
    </row>
    <row r="10" spans="2:4" x14ac:dyDescent="0.25">
      <c r="B10" s="14" t="s">
        <v>19</v>
      </c>
      <c r="C10" s="12">
        <v>747</v>
      </c>
      <c r="D10" s="19"/>
    </row>
    <row r="11" spans="2:4" x14ac:dyDescent="0.25">
      <c r="B11" s="14" t="s">
        <v>315</v>
      </c>
      <c r="C11" s="12">
        <v>3571</v>
      </c>
      <c r="D11" t="s">
        <v>317</v>
      </c>
    </row>
    <row r="13" spans="2:4" x14ac:dyDescent="0.25">
      <c r="B13" t="s">
        <v>324</v>
      </c>
    </row>
    <row r="15" spans="2:4" x14ac:dyDescent="0.25">
      <c r="B15" s="13" t="s">
        <v>16</v>
      </c>
      <c r="C15" t="s">
        <v>20</v>
      </c>
    </row>
    <row r="17" spans="2:4" x14ac:dyDescent="0.25">
      <c r="B17" s="13" t="s">
        <v>314</v>
      </c>
      <c r="C17" t="s">
        <v>322</v>
      </c>
    </row>
    <row r="18" spans="2:4" x14ac:dyDescent="0.25">
      <c r="B18" s="14" t="s">
        <v>22</v>
      </c>
      <c r="C18">
        <v>0</v>
      </c>
      <c r="D18" t="s">
        <v>320</v>
      </c>
    </row>
    <row r="19" spans="2:4" x14ac:dyDescent="0.25">
      <c r="B19" s="14" t="s">
        <v>26</v>
      </c>
      <c r="C19">
        <v>0</v>
      </c>
    </row>
    <row r="20" spans="2:4" x14ac:dyDescent="0.25">
      <c r="B20" s="14" t="s">
        <v>18</v>
      </c>
      <c r="C20">
        <v>1350</v>
      </c>
    </row>
    <row r="21" spans="2:4" x14ac:dyDescent="0.25">
      <c r="B21" s="14" t="s">
        <v>315</v>
      </c>
      <c r="C21">
        <v>1350</v>
      </c>
      <c r="D21" s="16">
        <f>GETPIVOTDATA("EA Play Season Pass
Price",$B$17)</f>
        <v>1350</v>
      </c>
    </row>
    <row r="25" spans="2:4" x14ac:dyDescent="0.25">
      <c r="B25" t="s">
        <v>323</v>
      </c>
    </row>
    <row r="27" spans="2:4" x14ac:dyDescent="0.25">
      <c r="B27" s="13" t="s">
        <v>16</v>
      </c>
      <c r="C27" t="s">
        <v>20</v>
      </c>
    </row>
    <row r="29" spans="2:4" x14ac:dyDescent="0.25">
      <c r="B29" s="13" t="s">
        <v>314</v>
      </c>
      <c r="C29" t="s">
        <v>325</v>
      </c>
    </row>
    <row r="30" spans="2:4" x14ac:dyDescent="0.25">
      <c r="B30" s="14" t="s">
        <v>22</v>
      </c>
      <c r="C30" s="12">
        <v>0</v>
      </c>
    </row>
    <row r="31" spans="2:4" x14ac:dyDescent="0.25">
      <c r="B31" s="14" t="s">
        <v>26</v>
      </c>
      <c r="C31" s="12">
        <v>900</v>
      </c>
    </row>
    <row r="32" spans="2:4" x14ac:dyDescent="0.25">
      <c r="B32" s="14" t="s">
        <v>18</v>
      </c>
      <c r="C32" s="12">
        <v>900</v>
      </c>
    </row>
    <row r="33" spans="2:4" x14ac:dyDescent="0.25">
      <c r="B33" s="14" t="s">
        <v>315</v>
      </c>
      <c r="C33" s="12">
        <v>1800</v>
      </c>
      <c r="D33" s="17">
        <f>GETPIVOTDATA("Minecraft Season Pass Price",$B$29)</f>
        <v>1800</v>
      </c>
    </row>
  </sheetData>
  <mergeCells count="1">
    <mergeCell ref="D9:D10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95"/>
  <sheetViews>
    <sheetView showGridLines="0" showRowColHeaders="0" tabSelected="1" zoomScale="115" zoomScaleNormal="115" workbookViewId="0">
      <selection activeCell="AD11" sqref="AD11"/>
    </sheetView>
  </sheetViews>
  <sheetFormatPr defaultRowHeight="15" x14ac:dyDescent="0.25"/>
  <cols>
    <col min="1" max="1" width="31.42578125" style="6" customWidth="1"/>
    <col min="2" max="2" width="3.5703125" customWidth="1"/>
    <col min="3" max="3" width="16.28515625" customWidth="1"/>
    <col min="12" max="12" width="6.5703125" customWidth="1"/>
    <col min="20" max="20" width="9.140625" customWidth="1"/>
  </cols>
  <sheetData>
    <row r="1" spans="1:20" ht="33" customHeight="1" x14ac:dyDescent="0.25"/>
    <row r="2" spans="1:20" ht="22.5" customHeight="1" thickBot="1" x14ac:dyDescent="0.5">
      <c r="C2" s="18" t="s">
        <v>321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ht="22.5" customHeight="1" thickTop="1" x14ac:dyDescent="0.25"/>
    <row r="4" spans="1:20" s="7" customFormat="1" ht="23.25" customHeight="1" x14ac:dyDescent="0.25">
      <c r="A4" s="6"/>
    </row>
    <row r="5" spans="1:20" s="7" customFormat="1" ht="7.5" customHeight="1" x14ac:dyDescent="0.25">
      <c r="A5" s="6"/>
    </row>
    <row r="6" spans="1:20" s="7" customFormat="1" ht="10.5" customHeight="1" x14ac:dyDescent="0.25">
      <c r="A6" s="6"/>
    </row>
    <row r="7" spans="1:20" s="7" customFormat="1" ht="9.75" customHeight="1" x14ac:dyDescent="0.25">
      <c r="A7" s="6"/>
    </row>
    <row r="8" spans="1:20" s="7" customFormat="1" ht="33" customHeight="1" x14ac:dyDescent="0.25">
      <c r="A8" s="6"/>
    </row>
    <row r="9" spans="1:20" s="7" customFormat="1" x14ac:dyDescent="0.25">
      <c r="A9" s="6"/>
    </row>
    <row r="10" spans="1:20" s="7" customFormat="1" x14ac:dyDescent="0.25">
      <c r="A10" s="6"/>
    </row>
    <row r="11" spans="1:20" s="7" customFormat="1" x14ac:dyDescent="0.25">
      <c r="A11" s="6"/>
    </row>
    <row r="12" spans="1:20" s="7" customFormat="1" x14ac:dyDescent="0.25">
      <c r="A12" s="6"/>
    </row>
    <row r="13" spans="1:20" s="7" customFormat="1" x14ac:dyDescent="0.25">
      <c r="A13" s="6"/>
    </row>
    <row r="14" spans="1:20" s="7" customFormat="1" x14ac:dyDescent="0.25">
      <c r="A14" s="6"/>
    </row>
    <row r="15" spans="1:20" s="7" customFormat="1" x14ac:dyDescent="0.25">
      <c r="A15" s="6"/>
    </row>
    <row r="16" spans="1:20" s="7" customFormat="1" x14ac:dyDescent="0.25">
      <c r="A16" s="6"/>
    </row>
    <row r="17" spans="1:1" s="7" customFormat="1" x14ac:dyDescent="0.25">
      <c r="A17" s="6"/>
    </row>
    <row r="18" spans="1:1" s="7" customFormat="1" x14ac:dyDescent="0.25">
      <c r="A18" s="6"/>
    </row>
    <row r="19" spans="1:1" s="7" customFormat="1" x14ac:dyDescent="0.25">
      <c r="A19" s="6"/>
    </row>
    <row r="20" spans="1:1" s="7" customFormat="1" x14ac:dyDescent="0.25">
      <c r="A20" s="6"/>
    </row>
    <row r="21" spans="1:1" s="7" customFormat="1" x14ac:dyDescent="0.25">
      <c r="A21" s="6"/>
    </row>
    <row r="22" spans="1:1" s="7" customFormat="1" x14ac:dyDescent="0.25">
      <c r="A22" s="6"/>
    </row>
    <row r="23" spans="1:1" s="7" customFormat="1" x14ac:dyDescent="0.25">
      <c r="A23" s="6"/>
    </row>
    <row r="24" spans="1:1" s="7" customFormat="1" x14ac:dyDescent="0.25">
      <c r="A24" s="6"/>
    </row>
    <row r="25" spans="1:1" s="7" customFormat="1" x14ac:dyDescent="0.25">
      <c r="A25" s="6"/>
    </row>
    <row r="26" spans="1:1" s="7" customFormat="1" x14ac:dyDescent="0.25">
      <c r="A26" s="6"/>
    </row>
    <row r="27" spans="1:1" s="7" customFormat="1" x14ac:dyDescent="0.25">
      <c r="A27" s="6"/>
    </row>
    <row r="28" spans="1:1" s="7" customFormat="1" x14ac:dyDescent="0.25">
      <c r="A28" s="6"/>
    </row>
    <row r="29" spans="1:1" s="7" customFormat="1" x14ac:dyDescent="0.25">
      <c r="A29" s="6"/>
    </row>
    <row r="30" spans="1:1" s="7" customFormat="1" x14ac:dyDescent="0.25">
      <c r="A30" s="6"/>
    </row>
    <row r="31" spans="1:1" s="7" customFormat="1" x14ac:dyDescent="0.25">
      <c r="A31" s="6"/>
    </row>
    <row r="32" spans="1:1" s="7" customFormat="1" x14ac:dyDescent="0.25">
      <c r="A32" s="6"/>
    </row>
    <row r="33" spans="1:1" s="7" customFormat="1" x14ac:dyDescent="0.25">
      <c r="A33" s="6"/>
    </row>
    <row r="34" spans="1:1" s="7" customFormat="1" x14ac:dyDescent="0.25">
      <c r="A34" s="6"/>
    </row>
    <row r="35" spans="1:1" s="7" customFormat="1" x14ac:dyDescent="0.25">
      <c r="A35" s="6"/>
    </row>
    <row r="36" spans="1:1" s="7" customFormat="1" x14ac:dyDescent="0.25">
      <c r="A36" s="6"/>
    </row>
    <row r="37" spans="1:1" s="7" customFormat="1" x14ac:dyDescent="0.25">
      <c r="A37" s="6"/>
    </row>
    <row r="38" spans="1:1" s="7" customFormat="1" x14ac:dyDescent="0.25">
      <c r="A38" s="6"/>
    </row>
    <row r="39" spans="1:1" s="7" customFormat="1" x14ac:dyDescent="0.25">
      <c r="A39" s="6"/>
    </row>
    <row r="40" spans="1:1" s="7" customFormat="1" x14ac:dyDescent="0.25">
      <c r="A40" s="6"/>
    </row>
    <row r="41" spans="1:1" s="7" customFormat="1" x14ac:dyDescent="0.25">
      <c r="A41" s="6"/>
    </row>
    <row r="42" spans="1:1" s="7" customFormat="1" x14ac:dyDescent="0.25">
      <c r="A42" s="6"/>
    </row>
    <row r="43" spans="1:1" s="7" customFormat="1" x14ac:dyDescent="0.25">
      <c r="A43" s="6"/>
    </row>
    <row r="44" spans="1:1" s="7" customFormat="1" x14ac:dyDescent="0.25">
      <c r="A44" s="6"/>
    </row>
    <row r="45" spans="1:1" s="7" customFormat="1" x14ac:dyDescent="0.25">
      <c r="A45" s="6"/>
    </row>
    <row r="46" spans="1:1" s="7" customFormat="1" x14ac:dyDescent="0.25">
      <c r="A46" s="6"/>
    </row>
    <row r="47" spans="1:1" s="7" customFormat="1" x14ac:dyDescent="0.25">
      <c r="A47" s="6"/>
    </row>
    <row r="48" spans="1:1" s="7" customFormat="1" x14ac:dyDescent="0.25">
      <c r="A48" s="6"/>
    </row>
    <row r="49" spans="1:1" s="7" customFormat="1" x14ac:dyDescent="0.25">
      <c r="A49" s="6"/>
    </row>
    <row r="50" spans="1:1" s="7" customFormat="1" x14ac:dyDescent="0.25">
      <c r="A50" s="6"/>
    </row>
    <row r="51" spans="1:1" s="7" customFormat="1" x14ac:dyDescent="0.25">
      <c r="A51" s="6"/>
    </row>
    <row r="52" spans="1:1" s="7" customFormat="1" x14ac:dyDescent="0.25">
      <c r="A52" s="6"/>
    </row>
    <row r="53" spans="1:1" s="7" customFormat="1" x14ac:dyDescent="0.25">
      <c r="A53" s="6"/>
    </row>
    <row r="54" spans="1:1" s="7" customFormat="1" x14ac:dyDescent="0.25">
      <c r="A54" s="6"/>
    </row>
    <row r="55" spans="1:1" s="7" customFormat="1" x14ac:dyDescent="0.25">
      <c r="A55" s="6"/>
    </row>
    <row r="56" spans="1:1" s="7" customFormat="1" x14ac:dyDescent="0.25">
      <c r="A56" s="6"/>
    </row>
    <row r="57" spans="1:1" s="7" customFormat="1" x14ac:dyDescent="0.25">
      <c r="A57" s="6"/>
    </row>
    <row r="58" spans="1:1" s="7" customFormat="1" x14ac:dyDescent="0.25">
      <c r="A58" s="6"/>
    </row>
    <row r="59" spans="1:1" s="7" customFormat="1" x14ac:dyDescent="0.25">
      <c r="A59" s="6"/>
    </row>
    <row r="60" spans="1:1" s="7" customFormat="1" x14ac:dyDescent="0.25">
      <c r="A60" s="6"/>
    </row>
    <row r="61" spans="1:1" s="7" customFormat="1" x14ac:dyDescent="0.25">
      <c r="A61" s="6"/>
    </row>
    <row r="62" spans="1:1" s="7" customFormat="1" x14ac:dyDescent="0.25">
      <c r="A62" s="6"/>
    </row>
    <row r="63" spans="1:1" s="7" customFormat="1" x14ac:dyDescent="0.25">
      <c r="A63" s="6"/>
    </row>
    <row r="64" spans="1:1" s="7" customFormat="1" x14ac:dyDescent="0.25">
      <c r="A64" s="6"/>
    </row>
    <row r="65" spans="1:1" s="7" customFormat="1" x14ac:dyDescent="0.25">
      <c r="A65" s="6"/>
    </row>
    <row r="66" spans="1:1" s="7" customFormat="1" x14ac:dyDescent="0.25">
      <c r="A66" s="6"/>
    </row>
    <row r="67" spans="1:1" s="7" customFormat="1" x14ac:dyDescent="0.25">
      <c r="A67" s="6"/>
    </row>
    <row r="68" spans="1:1" s="7" customFormat="1" x14ac:dyDescent="0.25">
      <c r="A68" s="6"/>
    </row>
    <row r="69" spans="1:1" s="7" customFormat="1" x14ac:dyDescent="0.25">
      <c r="A69" s="6"/>
    </row>
    <row r="70" spans="1:1" s="7" customFormat="1" x14ac:dyDescent="0.25">
      <c r="A70" s="6"/>
    </row>
    <row r="71" spans="1:1" s="7" customFormat="1" x14ac:dyDescent="0.25">
      <c r="A71" s="6"/>
    </row>
    <row r="72" spans="1:1" s="7" customFormat="1" x14ac:dyDescent="0.25">
      <c r="A72" s="6"/>
    </row>
    <row r="73" spans="1:1" s="7" customFormat="1" x14ac:dyDescent="0.25">
      <c r="A73" s="6"/>
    </row>
    <row r="74" spans="1:1" s="7" customFormat="1" x14ac:dyDescent="0.25">
      <c r="A74" s="6"/>
    </row>
    <row r="75" spans="1:1" s="7" customFormat="1" x14ac:dyDescent="0.25">
      <c r="A75" s="6"/>
    </row>
    <row r="76" spans="1:1" s="7" customFormat="1" x14ac:dyDescent="0.25">
      <c r="A76" s="6"/>
    </row>
    <row r="77" spans="1:1" s="7" customFormat="1" x14ac:dyDescent="0.25">
      <c r="A77" s="6"/>
    </row>
    <row r="78" spans="1:1" s="7" customFormat="1" x14ac:dyDescent="0.25">
      <c r="A78" s="6"/>
    </row>
    <row r="79" spans="1:1" s="7" customFormat="1" x14ac:dyDescent="0.25">
      <c r="A79" s="6"/>
    </row>
    <row r="80" spans="1:1" s="7" customFormat="1" x14ac:dyDescent="0.25">
      <c r="A80" s="6"/>
    </row>
    <row r="81" spans="1:1" s="7" customFormat="1" x14ac:dyDescent="0.25">
      <c r="A81" s="6"/>
    </row>
    <row r="82" spans="1:1" s="7" customFormat="1" x14ac:dyDescent="0.25">
      <c r="A82" s="6"/>
    </row>
    <row r="83" spans="1:1" s="7" customFormat="1" x14ac:dyDescent="0.25">
      <c r="A83" s="6"/>
    </row>
    <row r="84" spans="1:1" s="7" customFormat="1" x14ac:dyDescent="0.25">
      <c r="A84" s="6"/>
    </row>
    <row r="85" spans="1:1" s="7" customFormat="1" x14ac:dyDescent="0.25">
      <c r="A85" s="6"/>
    </row>
    <row r="86" spans="1:1" s="7" customFormat="1" x14ac:dyDescent="0.25">
      <c r="A86" s="6"/>
    </row>
    <row r="87" spans="1:1" s="7" customFormat="1" x14ac:dyDescent="0.25">
      <c r="A87" s="6"/>
    </row>
    <row r="88" spans="1:1" s="7" customFormat="1" x14ac:dyDescent="0.25">
      <c r="A88" s="6"/>
    </row>
    <row r="89" spans="1:1" s="7" customFormat="1" x14ac:dyDescent="0.25">
      <c r="A89" s="6"/>
    </row>
    <row r="90" spans="1:1" s="7" customFormat="1" x14ac:dyDescent="0.25">
      <c r="A90" s="6"/>
    </row>
    <row r="91" spans="1:1" s="7" customFormat="1" x14ac:dyDescent="0.25">
      <c r="A91" s="6"/>
    </row>
    <row r="92" spans="1:1" s="7" customFormat="1" x14ac:dyDescent="0.25">
      <c r="A92" s="6"/>
    </row>
    <row r="93" spans="1:1" s="7" customFormat="1" x14ac:dyDescent="0.25">
      <c r="A93" s="6"/>
    </row>
    <row r="94" spans="1:1" s="7" customFormat="1" x14ac:dyDescent="0.25">
      <c r="A94" s="6"/>
    </row>
    <row r="95" spans="1:1" s="7" customFormat="1" x14ac:dyDescent="0.25">
      <c r="A95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Caio Gimenes Alves</cp:lastModifiedBy>
  <dcterms:created xsi:type="dcterms:W3CDTF">2024-12-19T13:13:10Z</dcterms:created>
  <dcterms:modified xsi:type="dcterms:W3CDTF">2025-04-09T20:46:14Z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